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4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bhilaire/Documents/"/>
    </mc:Choice>
  </mc:AlternateContent>
  <xr:revisionPtr revIDLastSave="0" documentId="8_{FA915366-3756-604E-97D6-437B2F576AB1}" xr6:coauthVersionLast="47" xr6:coauthVersionMax="47" xr10:uidLastSave="{00000000-0000-0000-0000-000000000000}"/>
  <bookViews>
    <workbookView xWindow="-32340" yWindow="-2620" windowWidth="30240" windowHeight="18880" xr2:uid="{19556DC6-E924-D04F-9DF3-B2F2DB65E2F6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3" i="1" l="1"/>
  <c r="F13" i="1"/>
  <c r="D13" i="1"/>
  <c r="B15" i="1" l="1"/>
  <c r="B17" i="1" s="1"/>
</calcChain>
</file>

<file path=xl/sharedStrings.xml><?xml version="1.0" encoding="utf-8"?>
<sst xmlns="http://schemas.openxmlformats.org/spreadsheetml/2006/main" count="20" uniqueCount="20">
  <si>
    <t>Min</t>
  </si>
  <si>
    <t>Max</t>
  </si>
  <si>
    <t>Test 1</t>
  </si>
  <si>
    <t>Test 2</t>
  </si>
  <si>
    <t>Test 3</t>
  </si>
  <si>
    <t>CVSS Score</t>
  </si>
  <si>
    <t>False positive multiplier</t>
  </si>
  <si>
    <t>Scenario is correct</t>
  </si>
  <si>
    <t>Assessment is correct</t>
  </si>
  <si>
    <t>Correct mitigation</t>
  </si>
  <si>
    <t>Technical/Functional complexity</t>
  </si>
  <si>
    <t>Originality / innovative touch</t>
  </si>
  <si>
    <t>Explanation clarity multiplier</t>
  </si>
  <si>
    <t>Criteria</t>
  </si>
  <si>
    <t>Team NAME</t>
  </si>
  <si>
    <t>Grand Total</t>
  </si>
  <si>
    <t>Team multiplier</t>
  </si>
  <si>
    <t>Judge Name</t>
  </si>
  <si>
    <t>Subtotal</t>
  </si>
  <si>
    <t>Total tests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</si>
</sst>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Aptos Narrow"/>
      <family val="2"/>
      <scheme val="minor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b/>
      <sz val="28"/>
      <color theme="1"/>
      <name val="Aptos Narrow"/>
      <family val="2"/>
      <scheme val="minor"/>
    </font>
    <font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DA87F-D386-6B48-ACBE-BE421237FD81}">
  <dimension ref="A1:F17"/>
  <sheetViews>
    <sheetView tabSelected="1" workbookViewId="0">
      <selection activeCell="F17" sqref="A1:F17"/>
    </sheetView>
  </sheetViews>
  <sheetFormatPr baseColWidth="10" defaultRowHeight="16" x14ac:dyDescent="0.2"/>
  <cols>
    <col min="1" max="1" width="35.5" bestFit="1" customWidth="1"/>
    <col min="2" max="2" width="12.6640625" customWidth="1"/>
  </cols>
  <sheetData>
    <row r="1" spans="1:6" ht="25" x14ac:dyDescent="0.25">
      <c r="A1" s="4" t="s">
        <v>14</v>
      </c>
    </row>
    <row r="2" spans="1:6" ht="18" x14ac:dyDescent="0.2">
      <c r="A2" s="2" t="s">
        <v>17</v>
      </c>
    </row>
    <row r="3" spans="1:6" ht="18" x14ac:dyDescent="0.2">
      <c r="A3" s="2"/>
    </row>
    <row r="4" spans="1:6" ht="18" x14ac:dyDescent="0.2">
      <c r="A4" s="1" t="s">
        <v>13</v>
      </c>
      <c r="B4" s="1" t="s">
        <v>0</v>
      </c>
      <c r="C4" s="1" t="s">
        <v>1</v>
      </c>
      <c r="D4" s="1" t="s">
        <v>2</v>
      </c>
      <c r="E4" s="1" t="s">
        <v>3</v>
      </c>
      <c r="F4" s="1" t="s">
        <v>4</v>
      </c>
    </row>
    <row r="5" spans="1:6" ht="18" x14ac:dyDescent="0.2">
      <c r="A5" s="2" t="s">
        <v>5</v>
      </c>
      <c r="B5" s="2">
        <v>0</v>
      </c>
      <c r="C5" s="2">
        <v>10</v>
      </c>
      <c r="D5" s="2"/>
      <c r="E5" s="2"/>
      <c r="F5" s="2"/>
    </row>
    <row r="6" spans="1:6" ht="18" x14ac:dyDescent="0.2">
      <c r="A6" s="2" t="s">
        <v>6</v>
      </c>
      <c r="B6" s="2">
        <v>0.2</v>
      </c>
      <c r="C6" s="2">
        <v>1</v>
      </c>
      <c r="D6" s="2"/>
      <c r="E6" s="2"/>
      <c r="F6" s="2"/>
    </row>
    <row r="7" spans="1:6" ht="18" x14ac:dyDescent="0.2">
      <c r="A7" s="2" t="s">
        <v>12</v>
      </c>
      <c r="B7" s="2">
        <v>0.5</v>
      </c>
      <c r="C7" s="2">
        <v>1.5</v>
      </c>
      <c r="D7" s="2"/>
      <c r="E7" s="2"/>
      <c r="F7" s="2"/>
    </row>
    <row r="8" spans="1:6" ht="18" x14ac:dyDescent="0.2">
      <c r="A8" s="2" t="s">
        <v>7</v>
      </c>
      <c r="B8" s="2">
        <v>-2</v>
      </c>
      <c r="C8" s="2">
        <v>2</v>
      </c>
      <c r="D8" s="2"/>
      <c r="E8" s="2"/>
      <c r="F8" s="2"/>
    </row>
    <row r="9" spans="1:6" ht="18" x14ac:dyDescent="0.2">
      <c r="A9" s="2" t="s">
        <v>8</v>
      </c>
      <c r="B9" s="2">
        <v>-2</v>
      </c>
      <c r="C9" s="2">
        <v>2</v>
      </c>
      <c r="D9" s="2"/>
      <c r="E9" s="2"/>
      <c r="F9" s="2"/>
    </row>
    <row r="10" spans="1:6" ht="18" x14ac:dyDescent="0.2">
      <c r="A10" s="2" t="s">
        <v>9</v>
      </c>
      <c r="B10" s="2">
        <v>-2</v>
      </c>
      <c r="C10" s="2">
        <v>2</v>
      </c>
      <c r="D10" s="2"/>
      <c r="E10" s="2"/>
      <c r="F10" s="2"/>
    </row>
    <row r="11" spans="1:6" ht="18" x14ac:dyDescent="0.2">
      <c r="A11" s="2" t="s">
        <v>10</v>
      </c>
      <c r="B11" s="2">
        <v>0</v>
      </c>
      <c r="C11" s="2">
        <v>5</v>
      </c>
      <c r="D11" s="2"/>
      <c r="E11" s="2"/>
      <c r="F11" s="2"/>
    </row>
    <row r="12" spans="1:6" ht="18" x14ac:dyDescent="0.2">
      <c r="A12" s="2" t="s">
        <v>11</v>
      </c>
      <c r="B12" s="2">
        <v>0</v>
      </c>
      <c r="C12" s="2">
        <v>5</v>
      </c>
      <c r="D12" s="2"/>
      <c r="E12" s="2"/>
      <c r="F12" s="2"/>
    </row>
    <row r="13" spans="1:6" ht="18" x14ac:dyDescent="0.2">
      <c r="A13" s="2" t="s">
        <v>18</v>
      </c>
      <c r="B13" s="2"/>
      <c r="C13" s="2"/>
      <c r="D13" s="2">
        <f>MAX(0,(D5*D6*D7)+SUM(D8:D12))</f>
        <v>0</v>
      </c>
      <c r="E13" s="2">
        <f t="shared" ref="E13:F13" si="0">MAX(0,(E5*E6*E7)+SUM(E8:E12))</f>
        <v>0</v>
      </c>
      <c r="F13" s="2">
        <f t="shared" si="0"/>
        <v>0</v>
      </c>
    </row>
    <row r="15" spans="1:6" ht="18" x14ac:dyDescent="0.2">
      <c r="A15" s="2" t="s">
        <v>19</v>
      </c>
      <c r="B15">
        <f>SUM(D13:BB13)</f>
        <v>0</v>
      </c>
    </row>
    <row r="16" spans="1:6" ht="18" x14ac:dyDescent="0.2">
      <c r="A16" s="2" t="s">
        <v>16</v>
      </c>
      <c r="B16">
        <v>1</v>
      </c>
    </row>
    <row r="17" spans="1:2" ht="37" x14ac:dyDescent="0.45">
      <c r="A17" s="1" t="s">
        <v>15</v>
      </c>
      <c r="B17" s="3">
        <f>B15*B16</f>
        <v>0</v>
      </c>
    </row>
  </sheetData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Benjamin HILAIRE</dc:creator>
  <cp:lastModifiedBy>Benjamin HILAIRE</cp:lastModifiedBy>
  <dcterms:created xsi:type="dcterms:W3CDTF">2024-05-03T14:50:30Z</dcterms:created>
  <dcterms:modified xsi:type="dcterms:W3CDTF">2024-05-03T15:06:33Z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f0ea3bf-098d-497f-9948-5e528bb54b39_Enabled">
    <vt:lpwstr>true</vt:lpwstr>
  </property>
  <property fmtid="{D5CDD505-2E9C-101B-9397-08002B2CF9AE}" pid="3" name="MSIP_Label_7f0ea3bf-098d-497f-9948-5e528bb54b39_SetDate">
    <vt:lpwstr>2024-05-03T14:58:19Z</vt:lpwstr>
  </property>
  <property fmtid="{D5CDD505-2E9C-101B-9397-08002B2CF9AE}" pid="4" name="MSIP_Label_7f0ea3bf-098d-497f-9948-5e528bb54b39_Method">
    <vt:lpwstr>Privileged</vt:lpwstr>
  </property>
  <property fmtid="{D5CDD505-2E9C-101B-9397-08002B2CF9AE}" pid="5" name="MSIP_Label_7f0ea3bf-098d-497f-9948-5e528bb54b39_Name">
    <vt:lpwstr>7f0ea3bf-098d-497f-9948-5e528bb54b39</vt:lpwstr>
  </property>
  <property fmtid="{D5CDD505-2E9C-101B-9397-08002B2CF9AE}" pid="6" name="MSIP_Label_7f0ea3bf-098d-497f-9948-5e528bb54b39_SiteId">
    <vt:lpwstr>b3f4f7c2-72ce-4192-aba4-d6c7719b5766</vt:lpwstr>
  </property>
  <property fmtid="{D5CDD505-2E9C-101B-9397-08002B2CF9AE}" pid="7" name="MSIP_Label_7f0ea3bf-098d-497f-9948-5e528bb54b39_ActionId">
    <vt:lpwstr>749e6362-9fb5-45a0-aa32-ba64c07a9bbd</vt:lpwstr>
  </property>
  <property fmtid="{D5CDD505-2E9C-101B-9397-08002B2CF9AE}" pid="8" name="MSIP_Label_7f0ea3bf-098d-497f-9948-5e528bb54b39_ContentBits">
    <vt:lpwstr>0</vt:lpwstr>
  </property>
</Properties>
</file>